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PORT YEAR 2020\Myanmar 2020\GTR\FHD\"/>
    </mc:Choice>
  </mc:AlternateContent>
  <bookViews>
    <workbookView xWindow="-105" yWindow="-105" windowWidth="25815" windowHeight="14025" activeTab="1"/>
  </bookViews>
  <sheets>
    <sheet name="LCInfo" sheetId="2" r:id="rId1"/>
    <sheet name="BuyerPO" sheetId="1" r:id="rId2"/>
  </sheets>
  <definedNames>
    <definedName name="_xlnm._FilterDatabase" localSheetId="1" hidden="1">BuyerPO!$A$1:$O$1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2" i="1" l="1"/>
  <c r="M3" i="1" l="1"/>
  <c r="M4" i="1"/>
</calcChain>
</file>

<file path=xl/sharedStrings.xml><?xml version="1.0" encoding="utf-8"?>
<sst xmlns="http://schemas.openxmlformats.org/spreadsheetml/2006/main" count="102" uniqueCount="79">
  <si>
    <t>ShipDate</t>
  </si>
  <si>
    <t>SL</t>
  </si>
  <si>
    <t>PONo</t>
  </si>
  <si>
    <t>Style</t>
  </si>
  <si>
    <t>ItemName</t>
  </si>
  <si>
    <t>HSCode</t>
  </si>
  <si>
    <t>Fabrication</t>
  </si>
  <si>
    <t>UnitPrice</t>
  </si>
  <si>
    <t>TotalValue</t>
  </si>
  <si>
    <t>Destination</t>
  </si>
  <si>
    <t>Factor</t>
  </si>
  <si>
    <t>Buyer</t>
  </si>
  <si>
    <t>LCIssueDate</t>
  </si>
  <si>
    <t>OpeningBank</t>
  </si>
  <si>
    <t>ConsigneeBank</t>
  </si>
  <si>
    <t>Company</t>
  </si>
  <si>
    <t>Tolerance</t>
  </si>
  <si>
    <t>Shipmode</t>
  </si>
  <si>
    <t>Incoterm</t>
  </si>
  <si>
    <t>PortOfLoading</t>
  </si>
  <si>
    <t>PortOfDestination</t>
  </si>
  <si>
    <t>Insurance</t>
  </si>
  <si>
    <t>LastShipDate</t>
  </si>
  <si>
    <t>PaymentTerm</t>
  </si>
  <si>
    <t>AccountNo</t>
  </si>
  <si>
    <t>Remarks1</t>
  </si>
  <si>
    <t>Remarks2</t>
  </si>
  <si>
    <t>Remarks3</t>
  </si>
  <si>
    <t>Field</t>
  </si>
  <si>
    <t>Information</t>
  </si>
  <si>
    <t>Contract</t>
  </si>
  <si>
    <t>United Commercial Bank</t>
  </si>
  <si>
    <t>Sea</t>
  </si>
  <si>
    <t>FOB</t>
  </si>
  <si>
    <t>Chittagong, Bangladesh</t>
  </si>
  <si>
    <t>TRADE CARD &amp; TT</t>
  </si>
  <si>
    <t>Write</t>
  </si>
  <si>
    <t>Pcs</t>
  </si>
  <si>
    <t>Curency</t>
  </si>
  <si>
    <t>OrderQty</t>
  </si>
  <si>
    <t>OrderUOM</t>
  </si>
  <si>
    <t>QuantityPcs</t>
  </si>
  <si>
    <t>UOM</t>
  </si>
  <si>
    <t>LCValue</t>
  </si>
  <si>
    <t>LCQty</t>
  </si>
  <si>
    <t>ShippingAgent</t>
  </si>
  <si>
    <t>USD</t>
  </si>
  <si>
    <t>N/A</t>
  </si>
  <si>
    <t>SWEDEN</t>
  </si>
  <si>
    <t>ContractNo</t>
  </si>
  <si>
    <t>OrderType</t>
  </si>
  <si>
    <t>CatNo</t>
  </si>
  <si>
    <t>DeliveryNo</t>
  </si>
  <si>
    <t>DestinationPO</t>
  </si>
  <si>
    <t>Kimball</t>
  </si>
  <si>
    <t>ColorCode</t>
  </si>
  <si>
    <t>1-jan-20</t>
  </si>
  <si>
    <t>ContractDate</t>
  </si>
  <si>
    <t xml:space="preserve"> </t>
  </si>
  <si>
    <t>F-M1014</t>
  </si>
  <si>
    <t>60032000</t>
  </si>
  <si>
    <t>ROLL</t>
  </si>
  <si>
    <t>F-19121039/MGLR</t>
  </si>
  <si>
    <t>MD-2265-B</t>
  </si>
  <si>
    <t>FABRIC</t>
  </si>
  <si>
    <t>95% Origanic cotton 5% Lycra of 160 gsm</t>
  </si>
  <si>
    <t>79600.202.53.930-124.125</t>
  </si>
  <si>
    <t>79600.202.53.931-127.028</t>
  </si>
  <si>
    <t>BLACK</t>
  </si>
  <si>
    <t>GREY MEL</t>
  </si>
  <si>
    <t>WHITE</t>
  </si>
  <si>
    <t>79600.202.43.930-132.133, 7600.202.53.931-030.031</t>
  </si>
  <si>
    <t>FOUR H DYEING &amp; PRINTING LTD.</t>
  </si>
  <si>
    <t>FHD2020/OTH</t>
  </si>
  <si>
    <t>TRINITY APPARELS LTD.</t>
  </si>
  <si>
    <t xml:space="preserve">TD BANK </t>
  </si>
  <si>
    <t>EXPO FREIGHT LTD.</t>
  </si>
  <si>
    <t>MYANMAR</t>
  </si>
  <si>
    <t>CD-0041101000001059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</si>
</sst>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left" vertical="center"/>
    </xf>
    <xf numFmtId="15" fontId="0" fillId="5" borderId="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49" fontId="0" fillId="7" borderId="1" xfId="0" applyNumberFormat="1" applyFill="1" applyBorder="1"/>
    <xf numFmtId="49" fontId="0" fillId="0" borderId="0" xfId="0" applyNumberFormat="1"/>
    <xf numFmtId="49" fontId="2" fillId="4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3" fillId="4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vertical="center"/>
    </xf>
    <xf numFmtId="49" fontId="0" fillId="3" borderId="2" xfId="0" applyNumberFormat="1" applyFill="1" applyBorder="1" applyAlignment="1">
      <alignment horizontal="center"/>
    </xf>
    <xf numFmtId="49" fontId="2" fillId="4" borderId="3" xfId="0" applyNumberFormat="1" applyFont="1" applyFill="1" applyBorder="1" applyAlignment="1">
      <alignment horizontal="center"/>
    </xf>
    <xf numFmtId="49" fontId="0" fillId="8" borderId="4" xfId="0" applyNumberFormat="1" applyFill="1" applyBorder="1"/>
    <xf numFmtId="49" fontId="0" fillId="8" borderId="5" xfId="0" applyNumberFormat="1" applyFill="1" applyBorder="1"/>
    <xf numFmtId="49" fontId="0" fillId="7" borderId="6" xfId="0" applyNumberFormat="1" applyFill="1" applyBorder="1"/>
    <xf numFmtId="49" fontId="3" fillId="7" borderId="7" xfId="0" applyNumberFormat="1" applyFont="1" applyFill="1" applyBorder="1" applyAlignment="1">
      <alignment vertical="center"/>
    </xf>
    <xf numFmtId="0" fontId="4" fillId="8" borderId="1" xfId="0" applyNumberFormat="1" applyFont="1" applyFill="1" applyBorder="1"/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2" fillId="7" borderId="1" xfId="0" applyNumberFormat="1" applyFont="1" applyFill="1" applyBorder="1" applyAlignment="1">
      <alignment horizontal="center"/>
    </xf>
    <xf numFmtId="0" fontId="0" fillId="7" borderId="0" xfId="0" applyFill="1"/>
    <xf numFmtId="49" fontId="3" fillId="7" borderId="1" xfId="0" applyNumberFormat="1" applyFont="1" applyFill="1" applyBorder="1" applyAlignment="1">
      <alignment vertical="center" wrapText="1"/>
    </xf>
    <xf numFmtId="165" fontId="0" fillId="5" borderId="1" xfId="0" applyNumberFormat="1" applyFill="1" applyBorder="1" applyAlignment="1">
      <alignment horizontal="center"/>
    </xf>
    <xf numFmtId="0" fontId="0" fillId="9" borderId="0" xfId="0" applyFill="1" applyAlignment="1">
      <alignment horizontal="center"/>
    </xf>
    <xf numFmtId="49" fontId="1" fillId="9" borderId="0" xfId="0" applyNumberFormat="1" applyFont="1" applyFill="1" applyAlignment="1">
      <alignment horizontal="left"/>
    </xf>
    <xf numFmtId="49" fontId="1" fillId="9" borderId="0" xfId="0" applyNumberFormat="1" applyFont="1" applyFill="1" applyAlignment="1">
      <alignment horizontal="center"/>
    </xf>
    <xf numFmtId="49" fontId="0" fillId="9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49" fontId="0" fillId="9" borderId="0" xfId="0" applyNumberFormat="1" applyFill="1"/>
    <xf numFmtId="0" fontId="0" fillId="9" borderId="0" xfId="0" applyFill="1"/>
    <xf numFmtId="49" fontId="4" fillId="9" borderId="0" xfId="0" applyNumberFormat="1" applyFont="1" applyFill="1" applyAlignment="1">
      <alignment horizontal="left"/>
    </xf>
    <xf numFmtId="2" fontId="0" fillId="3" borderId="1" xfId="0" applyNumberForma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F11" sqref="F11"/>
    </sheetView>
  </sheetViews>
  <sheetFormatPr defaultRowHeight="15" x14ac:dyDescent="0.25"/>
  <cols>
    <col min="1" max="1" width="9.140625" style="3"/>
    <col min="2" max="2" width="20.140625" bestFit="1" customWidth="1"/>
    <col min="3" max="3" width="29" style="3" bestFit="1" customWidth="1"/>
    <col min="4" max="4" width="12.140625" bestFit="1" customWidth="1"/>
  </cols>
  <sheetData>
    <row r="1" spans="1:4" x14ac:dyDescent="0.25">
      <c r="A1" s="2" t="s">
        <v>1</v>
      </c>
      <c r="B1" s="1" t="s">
        <v>28</v>
      </c>
      <c r="C1" s="2" t="s">
        <v>29</v>
      </c>
    </row>
    <row r="2" spans="1:4" x14ac:dyDescent="0.25">
      <c r="A2" s="14">
        <v>1</v>
      </c>
      <c r="B2" s="5" t="s">
        <v>15</v>
      </c>
      <c r="C2" s="6" t="s">
        <v>72</v>
      </c>
      <c r="D2" s="4"/>
    </row>
    <row r="3" spans="1:4" x14ac:dyDescent="0.25">
      <c r="A3" s="14">
        <v>2</v>
      </c>
      <c r="B3" s="5" t="s">
        <v>30</v>
      </c>
      <c r="C3" s="6" t="s">
        <v>73</v>
      </c>
    </row>
    <row r="4" spans="1:4" x14ac:dyDescent="0.25">
      <c r="A4" s="14">
        <v>3</v>
      </c>
      <c r="B4" s="5" t="s">
        <v>11</v>
      </c>
      <c r="C4" s="6" t="s">
        <v>74</v>
      </c>
    </row>
    <row r="5" spans="1:4" x14ac:dyDescent="0.25">
      <c r="A5" s="14">
        <v>4</v>
      </c>
      <c r="B5" s="5" t="s">
        <v>12</v>
      </c>
      <c r="C5" s="36">
        <v>43843</v>
      </c>
    </row>
    <row r="6" spans="1:4" x14ac:dyDescent="0.25">
      <c r="A6" s="14">
        <v>5</v>
      </c>
      <c r="B6" s="5" t="s">
        <v>13</v>
      </c>
      <c r="C6" s="6" t="s">
        <v>31</v>
      </c>
    </row>
    <row r="7" spans="1:4" x14ac:dyDescent="0.25">
      <c r="A7" s="14">
        <v>6</v>
      </c>
      <c r="B7" s="5" t="s">
        <v>14</v>
      </c>
      <c r="C7" s="6" t="s">
        <v>75</v>
      </c>
    </row>
    <row r="8" spans="1:4" x14ac:dyDescent="0.25">
      <c r="A8" s="14">
        <v>7</v>
      </c>
      <c r="B8" s="5" t="s">
        <v>16</v>
      </c>
      <c r="C8" s="6">
        <v>5</v>
      </c>
    </row>
    <row r="9" spans="1:4" x14ac:dyDescent="0.25">
      <c r="A9" s="14">
        <v>9</v>
      </c>
      <c r="B9" s="5" t="s">
        <v>45</v>
      </c>
      <c r="C9" s="6" t="s">
        <v>76</v>
      </c>
    </row>
    <row r="10" spans="1:4" x14ac:dyDescent="0.25">
      <c r="A10" s="14">
        <v>11</v>
      </c>
      <c r="B10" s="5" t="s">
        <v>17</v>
      </c>
      <c r="C10" s="6" t="s">
        <v>32</v>
      </c>
    </row>
    <row r="11" spans="1:4" x14ac:dyDescent="0.25">
      <c r="A11" s="14">
        <v>12</v>
      </c>
      <c r="B11" s="5" t="s">
        <v>18</v>
      </c>
      <c r="C11" s="6" t="s">
        <v>33</v>
      </c>
    </row>
    <row r="12" spans="1:4" x14ac:dyDescent="0.25">
      <c r="A12" s="14">
        <v>13</v>
      </c>
      <c r="B12" s="5" t="s">
        <v>19</v>
      </c>
      <c r="C12" s="6" t="s">
        <v>34</v>
      </c>
    </row>
    <row r="13" spans="1:4" x14ac:dyDescent="0.25">
      <c r="A13" s="14">
        <v>14</v>
      </c>
      <c r="B13" s="5" t="s">
        <v>20</v>
      </c>
      <c r="C13" s="6" t="s">
        <v>77</v>
      </c>
    </row>
    <row r="14" spans="1:4" x14ac:dyDescent="0.25">
      <c r="A14" s="14">
        <v>15</v>
      </c>
      <c r="B14" s="5" t="s">
        <v>44</v>
      </c>
      <c r="C14" s="6">
        <v>0</v>
      </c>
    </row>
    <row r="15" spans="1:4" x14ac:dyDescent="0.25">
      <c r="A15" s="14">
        <v>16</v>
      </c>
      <c r="B15" s="5" t="s">
        <v>43</v>
      </c>
      <c r="C15" s="6">
        <v>0</v>
      </c>
    </row>
    <row r="16" spans="1:4" x14ac:dyDescent="0.25">
      <c r="A16" s="14">
        <v>17</v>
      </c>
      <c r="B16" s="5" t="s">
        <v>38</v>
      </c>
      <c r="C16" s="6" t="s">
        <v>46</v>
      </c>
    </row>
    <row r="17" spans="1:3" x14ac:dyDescent="0.25">
      <c r="A17" s="14">
        <v>18</v>
      </c>
      <c r="B17" s="5" t="s">
        <v>21</v>
      </c>
      <c r="C17" s="6" t="s">
        <v>47</v>
      </c>
    </row>
    <row r="18" spans="1:3" x14ac:dyDescent="0.25">
      <c r="A18" s="14">
        <v>19</v>
      </c>
      <c r="B18" s="15" t="s">
        <v>22</v>
      </c>
      <c r="C18" s="10">
        <v>44140</v>
      </c>
    </row>
    <row r="19" spans="1:3" x14ac:dyDescent="0.25">
      <c r="A19" s="14">
        <v>20</v>
      </c>
      <c r="B19" s="15" t="s">
        <v>23</v>
      </c>
      <c r="C19" s="6" t="s">
        <v>35</v>
      </c>
    </row>
    <row r="20" spans="1:3" x14ac:dyDescent="0.25">
      <c r="A20" s="14">
        <v>21</v>
      </c>
      <c r="B20" s="15" t="s">
        <v>24</v>
      </c>
      <c r="C20" s="6" t="s">
        <v>78</v>
      </c>
    </row>
    <row r="21" spans="1:3" x14ac:dyDescent="0.25">
      <c r="A21" s="14">
        <v>22</v>
      </c>
      <c r="B21" s="15" t="s">
        <v>25</v>
      </c>
      <c r="C21" s="6" t="s">
        <v>36</v>
      </c>
    </row>
    <row r="22" spans="1:3" x14ac:dyDescent="0.25">
      <c r="A22" s="14">
        <v>23</v>
      </c>
      <c r="B22" s="15" t="s">
        <v>26</v>
      </c>
      <c r="C22" s="6" t="s">
        <v>36</v>
      </c>
    </row>
    <row r="23" spans="1:3" x14ac:dyDescent="0.25">
      <c r="A23" s="14">
        <v>24</v>
      </c>
      <c r="B23" s="15" t="s">
        <v>27</v>
      </c>
      <c r="C23" s="6" t="s">
        <v>36</v>
      </c>
    </row>
    <row r="24" spans="1:3" s="12" customFormat="1" x14ac:dyDescent="0.25">
      <c r="A24" s="11"/>
      <c r="C24" s="11"/>
    </row>
    <row r="25" spans="1:3" s="12" customFormat="1" x14ac:dyDescent="0.25">
      <c r="A25" s="11"/>
      <c r="C25" s="11"/>
    </row>
    <row r="26" spans="1:3" s="12" customFormat="1" x14ac:dyDescent="0.25">
      <c r="A26" s="11"/>
      <c r="C26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topLeftCell="F1" workbookViewId="0">
      <selection activeCell="N7" sqref="N7"/>
    </sheetView>
  </sheetViews>
  <sheetFormatPr defaultRowHeight="15" x14ac:dyDescent="0.25"/>
  <cols>
    <col min="1" max="1" width="5.28515625" style="3" customWidth="1"/>
    <col min="2" max="2" width="18.42578125" style="19" bestFit="1" customWidth="1"/>
    <col min="3" max="3" width="26.7109375" style="19" bestFit="1" customWidth="1"/>
    <col min="4" max="4" width="34.5703125" style="19" bestFit="1" customWidth="1"/>
    <col min="5" max="5" width="14" style="19" bestFit="1" customWidth="1"/>
    <col min="6" max="6" width="42.7109375" style="19" bestFit="1" customWidth="1"/>
    <col min="7" max="7" width="13.140625" style="3" bestFit="1" customWidth="1"/>
    <col min="8" max="8" width="13.85546875" style="19" customWidth="1"/>
    <col min="9" max="9" width="13.42578125" style="3" customWidth="1"/>
    <col min="10" max="10" width="13.140625" style="7" bestFit="1" customWidth="1"/>
    <col min="11" max="11" width="11.7109375" style="19" customWidth="1"/>
    <col min="12" max="12" width="12.140625" style="7" customWidth="1"/>
    <col min="13" max="13" width="13.28515625" style="3" customWidth="1"/>
    <col min="14" max="14" width="12.28515625" style="3" bestFit="1" customWidth="1"/>
    <col min="15" max="15" width="13.28515625" style="19" customWidth="1"/>
    <col min="16" max="16" width="20.42578125" style="17" bestFit="1" customWidth="1"/>
    <col min="17" max="17" width="13.85546875" style="17" bestFit="1" customWidth="1"/>
    <col min="18" max="18" width="8.7109375" style="17"/>
    <col min="19" max="19" width="12.140625" style="17" customWidth="1"/>
    <col min="20" max="20" width="30.7109375" bestFit="1" customWidth="1"/>
    <col min="21" max="21" width="12" customWidth="1"/>
    <col min="22" max="22" width="13.5703125" customWidth="1"/>
    <col min="23" max="23" width="13" customWidth="1"/>
  </cols>
  <sheetData>
    <row r="1" spans="1:25" x14ac:dyDescent="0.25">
      <c r="A1" s="13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31" t="s">
        <v>39</v>
      </c>
      <c r="H1" s="20" t="s">
        <v>40</v>
      </c>
      <c r="I1" s="13" t="s">
        <v>10</v>
      </c>
      <c r="J1" s="32" t="s">
        <v>41</v>
      </c>
      <c r="K1" s="20" t="s">
        <v>42</v>
      </c>
      <c r="L1" s="45" t="s">
        <v>7</v>
      </c>
      <c r="M1" s="13" t="s">
        <v>8</v>
      </c>
      <c r="N1" s="13" t="s">
        <v>0</v>
      </c>
      <c r="O1" s="24" t="s">
        <v>9</v>
      </c>
      <c r="P1" s="26" t="s">
        <v>49</v>
      </c>
      <c r="Q1" s="27" t="s">
        <v>50</v>
      </c>
      <c r="R1" s="27" t="s">
        <v>51</v>
      </c>
      <c r="S1" s="27" t="s">
        <v>52</v>
      </c>
      <c r="T1" s="27" t="s">
        <v>53</v>
      </c>
      <c r="U1" s="27" t="s">
        <v>54</v>
      </c>
      <c r="V1" s="27" t="s">
        <v>55</v>
      </c>
      <c r="W1" s="30" t="s">
        <v>57</v>
      </c>
    </row>
    <row r="2" spans="1:25" ht="15.75" x14ac:dyDescent="0.25">
      <c r="A2" s="8">
        <v>1</v>
      </c>
      <c r="B2" s="23" t="s">
        <v>62</v>
      </c>
      <c r="C2" s="21" t="s">
        <v>63</v>
      </c>
      <c r="D2" s="21" t="s">
        <v>64</v>
      </c>
      <c r="E2" s="22" t="s">
        <v>60</v>
      </c>
      <c r="F2" s="18" t="s">
        <v>65</v>
      </c>
      <c r="G2" s="31">
        <v>230.45</v>
      </c>
      <c r="H2" s="18" t="s">
        <v>37</v>
      </c>
      <c r="I2" s="3">
        <v>4.3393360815795187E-2</v>
      </c>
      <c r="J2" s="33">
        <v>10</v>
      </c>
      <c r="K2" s="18" t="s">
        <v>61</v>
      </c>
      <c r="L2" s="46">
        <v>8.92</v>
      </c>
      <c r="M2" s="8">
        <f>L2*G2</f>
        <v>2055.614</v>
      </c>
      <c r="N2" s="9">
        <v>43800</v>
      </c>
      <c r="O2" s="25" t="s">
        <v>48</v>
      </c>
      <c r="P2" s="28" t="s">
        <v>62</v>
      </c>
      <c r="Q2" s="16"/>
      <c r="R2" s="16"/>
      <c r="S2" s="16" t="s">
        <v>58</v>
      </c>
      <c r="T2" s="23" t="s">
        <v>66</v>
      </c>
      <c r="U2" s="23"/>
      <c r="V2" s="34" t="s">
        <v>68</v>
      </c>
      <c r="W2" s="29" t="s">
        <v>56</v>
      </c>
    </row>
    <row r="3" spans="1:25" ht="15.75" x14ac:dyDescent="0.25">
      <c r="A3" s="8">
        <v>2</v>
      </c>
      <c r="B3" s="23" t="s">
        <v>59</v>
      </c>
      <c r="C3" s="21" t="s">
        <v>63</v>
      </c>
      <c r="D3" s="21" t="s">
        <v>64</v>
      </c>
      <c r="E3" s="22" t="s">
        <v>60</v>
      </c>
      <c r="F3" s="18" t="s">
        <v>65</v>
      </c>
      <c r="G3" s="31">
        <v>590.35</v>
      </c>
      <c r="H3" s="18" t="s">
        <v>37</v>
      </c>
      <c r="I3" s="3">
        <v>4.5735580587786907E-2</v>
      </c>
      <c r="J3" s="33">
        <v>27</v>
      </c>
      <c r="K3" s="18" t="s">
        <v>61</v>
      </c>
      <c r="L3" s="46">
        <v>9</v>
      </c>
      <c r="M3" s="8">
        <f t="shared" ref="M3:M4" si="0">L3*G3</f>
        <v>5313.1500000000005</v>
      </c>
      <c r="N3" s="9">
        <v>43800</v>
      </c>
      <c r="O3" s="25" t="s">
        <v>48</v>
      </c>
      <c r="P3" s="28" t="s">
        <v>62</v>
      </c>
      <c r="Q3" s="16"/>
      <c r="R3" s="16"/>
      <c r="S3" s="16"/>
      <c r="T3" s="23" t="s">
        <v>67</v>
      </c>
      <c r="U3" s="23"/>
      <c r="V3" s="34" t="s">
        <v>69</v>
      </c>
      <c r="W3" s="29" t="s">
        <v>56</v>
      </c>
    </row>
    <row r="4" spans="1:25" ht="31.5" x14ac:dyDescent="0.25">
      <c r="A4" s="8">
        <v>3</v>
      </c>
      <c r="B4" s="23" t="s">
        <v>59</v>
      </c>
      <c r="C4" s="21" t="s">
        <v>63</v>
      </c>
      <c r="D4" s="21" t="s">
        <v>64</v>
      </c>
      <c r="E4" s="22" t="s">
        <v>60</v>
      </c>
      <c r="F4" s="18" t="s">
        <v>65</v>
      </c>
      <c r="G4" s="31">
        <v>814.7</v>
      </c>
      <c r="H4" s="18" t="s">
        <v>37</v>
      </c>
      <c r="I4" s="3">
        <v>3.6823370565852456E-2</v>
      </c>
      <c r="J4" s="33">
        <v>30</v>
      </c>
      <c r="K4" s="18" t="s">
        <v>61</v>
      </c>
      <c r="L4" s="46">
        <v>7.79</v>
      </c>
      <c r="M4" s="8">
        <f t="shared" si="0"/>
        <v>6346.5130000000008</v>
      </c>
      <c r="N4" s="9">
        <v>43800</v>
      </c>
      <c r="O4" s="25" t="s">
        <v>48</v>
      </c>
      <c r="P4" s="28" t="s">
        <v>62</v>
      </c>
      <c r="Q4" s="16"/>
      <c r="R4" s="16"/>
      <c r="S4" s="16"/>
      <c r="T4" s="35" t="s">
        <v>71</v>
      </c>
      <c r="U4" s="23"/>
      <c r="V4" s="34" t="s">
        <v>70</v>
      </c>
      <c r="W4" s="29" t="s">
        <v>56</v>
      </c>
    </row>
    <row r="5" spans="1:25" x14ac:dyDescent="0.25">
      <c r="A5" s="37"/>
      <c r="B5" s="38"/>
      <c r="C5" s="39"/>
      <c r="D5" s="39"/>
      <c r="E5" s="40"/>
      <c r="F5" s="40"/>
      <c r="G5" s="37"/>
      <c r="H5" s="40"/>
      <c r="I5" s="37"/>
      <c r="J5" s="41"/>
      <c r="K5" s="40"/>
      <c r="L5" s="41"/>
      <c r="M5" s="37"/>
      <c r="N5" s="37"/>
      <c r="O5" s="40"/>
      <c r="P5" s="42"/>
      <c r="Q5" s="42"/>
      <c r="R5" s="42"/>
      <c r="S5" s="42"/>
      <c r="T5" s="43"/>
      <c r="U5" s="43"/>
      <c r="V5" s="43"/>
      <c r="W5" s="43"/>
      <c r="X5" s="43"/>
      <c r="Y5" s="43"/>
    </row>
    <row r="6" spans="1:25" x14ac:dyDescent="0.25">
      <c r="A6" s="37"/>
      <c r="B6" s="44"/>
      <c r="C6" s="39"/>
      <c r="D6" s="39"/>
      <c r="E6" s="40"/>
      <c r="F6" s="40"/>
      <c r="G6" s="37"/>
      <c r="H6" s="40"/>
      <c r="I6" s="37"/>
      <c r="J6" s="41"/>
      <c r="K6" s="40"/>
      <c r="L6" s="41"/>
      <c r="M6" s="37"/>
      <c r="N6" s="37"/>
      <c r="O6" s="40"/>
      <c r="P6" s="42"/>
      <c r="Q6" s="42"/>
      <c r="R6" s="42"/>
      <c r="S6" s="42"/>
      <c r="T6" s="43"/>
      <c r="U6" s="43"/>
      <c r="V6" s="43"/>
      <c r="W6" s="43"/>
      <c r="X6" s="43"/>
      <c r="Y6" s="43"/>
    </row>
    <row r="7" spans="1:25" x14ac:dyDescent="0.25">
      <c r="A7" s="37"/>
      <c r="B7" s="38"/>
      <c r="C7" s="40"/>
      <c r="D7" s="40"/>
      <c r="E7" s="40"/>
      <c r="F7" s="40"/>
      <c r="G7" s="37"/>
      <c r="H7" s="40"/>
      <c r="I7" s="37"/>
      <c r="J7" s="41"/>
      <c r="K7" s="40"/>
      <c r="L7" s="41"/>
      <c r="M7" s="37"/>
      <c r="N7" s="37"/>
      <c r="O7" s="40"/>
      <c r="P7" s="42"/>
      <c r="Q7" s="42"/>
      <c r="R7" s="42"/>
      <c r="S7" s="42"/>
      <c r="T7" s="43"/>
      <c r="U7" s="43"/>
      <c r="V7" s="43"/>
      <c r="W7" s="43"/>
      <c r="X7" s="43"/>
      <c r="Y7" s="4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LCInfo</vt:lpstr>
      <vt:lpstr>BuyerPO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Johirul Islam</dc:creator>
  <cp:lastModifiedBy>user</cp:lastModifiedBy>
  <dcterms:created xsi:type="dcterms:W3CDTF">2019-11-03T11:57:45Z</dcterms:created>
  <dcterms:modified xsi:type="dcterms:W3CDTF">2020-02-12T10:42:27Z</dcterms:modified>
</cp:coreProperties>
</file>